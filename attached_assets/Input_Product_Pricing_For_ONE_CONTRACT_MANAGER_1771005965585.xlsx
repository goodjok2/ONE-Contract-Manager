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basic info" sheetId="2" r:id="rId6"/>
  </sheets>
  <definedNames/>
  <calcPr/>
</workbook>
</file>

<file path=xl/sharedStrings.xml><?xml version="1.0" encoding="utf-8"?>
<sst xmlns="http://schemas.openxmlformats.org/spreadsheetml/2006/main" count="130" uniqueCount="92">
  <si>
    <t>Factory Items</t>
  </si>
  <si>
    <t>Fernie</t>
  </si>
  <si>
    <t>Baffin 1</t>
  </si>
  <si>
    <t>Baffin 2</t>
  </si>
  <si>
    <t>Gabriel</t>
  </si>
  <si>
    <t>Sierra</t>
  </si>
  <si>
    <t>Catalina</t>
  </si>
  <si>
    <t>Solara</t>
  </si>
  <si>
    <t>Lumina</t>
  </si>
  <si>
    <t>Number of Modules</t>
  </si>
  <si>
    <t>Sqft</t>
  </si>
  <si>
    <t>Base Price</t>
  </si>
  <si>
    <t>Price Per Sqft</t>
  </si>
  <si>
    <t>Site Cost "Range" Calculator</t>
  </si>
  <si>
    <t>Pre-Design Costs</t>
  </si>
  <si>
    <t>Survey</t>
  </si>
  <si>
    <t>Geotechnical Investigation</t>
  </si>
  <si>
    <t>Permit Expeditiing</t>
  </si>
  <si>
    <t>Modular Assesment</t>
  </si>
  <si>
    <t>Subtotal</t>
  </si>
  <si>
    <t>Site Construction Costs</t>
  </si>
  <si>
    <t>Demolish Hardscape Site Debris Removal</t>
  </si>
  <si>
    <t>Scrubbing &amp; Cut/Fill</t>
  </si>
  <si>
    <t>Retaining Walls</t>
  </si>
  <si>
    <t>Site Utilities</t>
  </si>
  <si>
    <t>Grading and Drainage</t>
  </si>
  <si>
    <t>Site Foundation Systems</t>
  </si>
  <si>
    <t>Covered Patio Slab (Allowance)</t>
  </si>
  <si>
    <t>Covered Patio Structure</t>
  </si>
  <si>
    <t>Site SIPS</t>
  </si>
  <si>
    <t>TPO Roof</t>
  </si>
  <si>
    <t>Gutters and Downspouts</t>
  </si>
  <si>
    <t>Decks</t>
  </si>
  <si>
    <t>Site applied siding</t>
  </si>
  <si>
    <t>Stitching</t>
  </si>
  <si>
    <t>Shipping/Setting Costs</t>
  </si>
  <si>
    <t>Transportation/Shipping</t>
  </si>
  <si>
    <t>Setting/Crane/Crew</t>
  </si>
  <si>
    <t>Site Supervision</t>
  </si>
  <si>
    <t>Total</t>
  </si>
  <si>
    <t>Permit Type &amp; Costs</t>
  </si>
  <si>
    <t>Plan Review Fee</t>
  </si>
  <si>
    <t>Building Permit Fee</t>
  </si>
  <si>
    <t>Altadena County Use Tax Fee</t>
  </si>
  <si>
    <t>Altadena Excise Tax</t>
  </si>
  <si>
    <t>Altadena City USE Tax</t>
  </si>
  <si>
    <t>Altadena Fire Dept: Plan Review</t>
  </si>
  <si>
    <t>Water &amp; Sewer Tap &amp; Permit Fees</t>
  </si>
  <si>
    <t>Electrical Power to Site</t>
  </si>
  <si>
    <t>Special Assesment Fee (contingency)</t>
  </si>
  <si>
    <t>Intertek 3rd Party Review</t>
  </si>
  <si>
    <t>Totals:</t>
  </si>
  <si>
    <t>Design Costs</t>
  </si>
  <si>
    <t>Design &amp; DfMA (includes MEP &amp; Sprinkler)</t>
  </si>
  <si>
    <t>Structural Engineering</t>
  </si>
  <si>
    <t>Permit Facilitation</t>
  </si>
  <si>
    <t>Total On-Site Costs</t>
  </si>
  <si>
    <t>Grand Total No Upgrades (Base Price)</t>
  </si>
  <si>
    <t>Factory Upgrades</t>
  </si>
  <si>
    <t>Stucco 1</t>
  </si>
  <si>
    <t>Stucco 2</t>
  </si>
  <si>
    <t>Stucco 3</t>
  </si>
  <si>
    <t>Wood Siding</t>
  </si>
  <si>
    <t>Wood/Metal Siding Combo</t>
  </si>
  <si>
    <t>x</t>
  </si>
  <si>
    <t>All Metal Siding 🤘</t>
  </si>
  <si>
    <t>Glass Entry Door</t>
  </si>
  <si>
    <t>Countertop Upgrade</t>
  </si>
  <si>
    <t>Bosch Appliance Upgrade</t>
  </si>
  <si>
    <t>Millwork Upgrade 1 - Media (Plan specific)</t>
  </si>
  <si>
    <t>Millwork Upgrade 2 - Kitchen Pantry (Plan specific)</t>
  </si>
  <si>
    <t>Window to sliding door 1 (Plan specific)</t>
  </si>
  <si>
    <t>Sonos Basic Package</t>
  </si>
  <si>
    <t>Sonos Outdoor Package</t>
  </si>
  <si>
    <t>Dvele IQ Upgrade</t>
  </si>
  <si>
    <t>Smart Lighting</t>
  </si>
  <si>
    <t>Ubiquiti Network Upgrade</t>
  </si>
  <si>
    <t>Ubiquiti Security Upgrade</t>
  </si>
  <si>
    <t>Shower / Tub upgrade</t>
  </si>
  <si>
    <t>Full Upgrade</t>
  </si>
  <si>
    <t>Factory Total (with all upgrades)</t>
  </si>
  <si>
    <t>Site Cost Upgrades:</t>
  </si>
  <si>
    <t>Solar &amp; Battery</t>
  </si>
  <si>
    <t>Garage Cost</t>
  </si>
  <si>
    <t>Upgrade to Full Panel Garage Door</t>
  </si>
  <si>
    <t>Add 2.5' to Crawl Space</t>
  </si>
  <si>
    <t>Hardscape (allowance)</t>
  </si>
  <si>
    <t>Landscaping (allowance)</t>
  </si>
  <si>
    <t>Site Cost Upgrades</t>
  </si>
  <si>
    <t>Grand Total Fully Upgraded</t>
  </si>
  <si>
    <t>Offsite Base Price (Factory Modules)</t>
  </si>
  <si>
    <t>Permit Related Costs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</si>
</sst>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2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3.0"/>
      <color rgb="FFFFFFFF"/>
      <name val="Arial"/>
    </font>
    <font>
      <sz val="13.0"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b/>
      <color rgb="FFFFFFFF"/>
      <name val="Arial"/>
    </font>
    <font>
      <sz val="11.0"/>
      <color theme="1"/>
      <name val="Arial"/>
    </font>
    <font>
      <b/>
      <color theme="1"/>
      <name val="Arial"/>
    </font>
    <font>
      <b/>
      <sz val="14.0"/>
      <color rgb="FF000000"/>
      <name val="Arial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3" xfId="0" applyAlignment="1" applyFont="1" applyNumberFormat="1">
      <alignment horizontal="center" readingOrder="0" vertical="bottom"/>
    </xf>
    <xf borderId="0" fillId="0" fontId="2" numFmtId="3" xfId="0" applyAlignment="1" applyFont="1" applyNumberFormat="1">
      <alignment horizontal="right" readingOrder="0" vertical="bottom"/>
    </xf>
    <xf borderId="0" fillId="2" fontId="3" numFmtId="0" xfId="0" applyAlignment="1" applyFont="1">
      <alignment readingOrder="0" vertical="bottom"/>
    </xf>
    <xf borderId="0" fillId="2" fontId="3" numFmtId="164" xfId="0" applyAlignment="1" applyFont="1" applyNumberFormat="1">
      <alignment readingOrder="0" vertical="bottom"/>
    </xf>
    <xf borderId="0" fillId="0" fontId="4" numFmtId="0" xfId="0" applyFont="1"/>
    <xf borderId="0" fillId="0" fontId="4" numFmtId="164" xfId="0" applyFont="1" applyNumberFormat="1"/>
    <xf borderId="0" fillId="0" fontId="2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2" fontId="2" numFmtId="0" xfId="0" applyAlignment="1" applyFont="1">
      <alignment vertical="bottom"/>
    </xf>
    <xf borderId="0" fillId="0" fontId="5" numFmtId="0" xfId="0" applyFont="1"/>
    <xf borderId="0" fillId="2" fontId="6" numFmtId="0" xfId="0" applyAlignment="1" applyFont="1">
      <alignment readingOrder="0" vertical="bottom"/>
    </xf>
    <xf borderId="0" fillId="2" fontId="7" numFmtId="164" xfId="0" applyAlignment="1" applyFont="1" applyNumberForma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2" numFmtId="164" xfId="0" applyAlignment="1" applyFont="1" applyNumberFormat="1">
      <alignment horizontal="center" readingOrder="0" vertical="bottom"/>
    </xf>
    <xf borderId="1" fillId="3" fontId="2" numFmtId="164" xfId="0" applyAlignment="1" applyBorder="1" applyFont="1" applyNumberFormat="1">
      <alignment horizontal="center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2" numFmtId="164" xfId="0" applyAlignment="1" applyFont="1" applyNumberFormat="1">
      <alignment vertical="bottom"/>
    </xf>
    <xf borderId="0" fillId="3" fontId="2" numFmtId="0" xfId="0" applyAlignment="1" applyFont="1">
      <alignment readingOrder="0" shrinkToFit="0" vertical="bottom" wrapText="1"/>
    </xf>
    <xf borderId="0" fillId="4" fontId="2" numFmtId="164" xfId="0" applyAlignment="1" applyFill="1" applyFont="1" applyNumberFormat="1">
      <alignment horizontal="center" readingOrder="0" vertical="bottom"/>
    </xf>
    <xf borderId="0" fillId="3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9" numFmtId="164" xfId="0" applyAlignment="1" applyFont="1" applyNumberFormat="1">
      <alignment horizontal="right" readingOrder="0" vertical="bottom"/>
    </xf>
    <xf borderId="0" fillId="2" fontId="1" numFmtId="165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0" numFmtId="165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0" fillId="2" fontId="1" numFmtId="164" xfId="0" applyAlignment="1" applyFont="1" applyNumberFormat="1">
      <alignment horizontal="right" readingOrder="0" vertical="bottom"/>
    </xf>
    <xf borderId="1" fillId="3" fontId="2" numFmtId="164" xfId="0" applyAlignment="1" applyBorder="1" applyFont="1" applyNumberFormat="1">
      <alignment horizontal="right" readingOrder="0" vertical="bottom"/>
    </xf>
    <xf borderId="0" fillId="2" fontId="1" numFmtId="165" xfId="0" applyAlignment="1" applyFont="1" applyNumberFormat="1">
      <alignment readingOrder="0" vertical="bottom"/>
    </xf>
    <xf borderId="0" fillId="2" fontId="7" numFmtId="164" xfId="0" applyAlignment="1" applyFont="1" applyNumberFormat="1">
      <alignment vertical="bottom"/>
    </xf>
    <xf borderId="0" fillId="2" fontId="1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25"/>
    <col customWidth="1" min="2" max="9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1.0</v>
      </c>
      <c r="C2" s="3">
        <v>1.0</v>
      </c>
      <c r="D2" s="3">
        <v>1.0</v>
      </c>
      <c r="E2" s="3">
        <v>4.0</v>
      </c>
      <c r="F2" s="3">
        <v>4.0</v>
      </c>
      <c r="G2" s="3">
        <v>4.0</v>
      </c>
      <c r="H2" s="3">
        <v>4.0</v>
      </c>
      <c r="I2" s="3">
        <v>4.0</v>
      </c>
    </row>
    <row r="3">
      <c r="A3" s="2" t="s">
        <v>10</v>
      </c>
      <c r="B3" s="4">
        <v>545.0</v>
      </c>
      <c r="C3" s="5">
        <v>702.0</v>
      </c>
      <c r="D3" s="4">
        <v>887.0</v>
      </c>
      <c r="E3" s="4">
        <v>1484.0</v>
      </c>
      <c r="F3" s="4">
        <v>1681.0</v>
      </c>
      <c r="G3" s="4">
        <v>1724.0</v>
      </c>
      <c r="H3" s="4">
        <v>1724.0</v>
      </c>
      <c r="I3" s="4">
        <v>2053.0</v>
      </c>
    </row>
    <row r="4">
      <c r="A4" s="6" t="s">
        <v>11</v>
      </c>
      <c r="B4" s="7">
        <v>206066.67</v>
      </c>
      <c r="C4" s="7">
        <v>265466.67</v>
      </c>
      <c r="D4" s="7">
        <v>321200.0</v>
      </c>
      <c r="E4" s="7">
        <v>434426.67</v>
      </c>
      <c r="F4" s="7">
        <v>476080.0</v>
      </c>
      <c r="G4" s="7">
        <v>545600.0</v>
      </c>
      <c r="H4" s="7">
        <v>545600.0</v>
      </c>
      <c r="I4" s="7">
        <v>587840.0</v>
      </c>
      <c r="J4" s="8"/>
      <c r="K4" s="9">
        <f>G4+C4</f>
        <v>811066.67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" t="s">
        <v>12</v>
      </c>
      <c r="B5" s="10">
        <v>475.0</v>
      </c>
      <c r="C5" s="10">
        <v>461.0</v>
      </c>
      <c r="D5" s="10">
        <v>436.0</v>
      </c>
      <c r="E5" s="10">
        <v>353.0</v>
      </c>
      <c r="F5" s="10">
        <v>345.0</v>
      </c>
      <c r="G5" s="10">
        <v>381.0</v>
      </c>
      <c r="H5" s="10">
        <v>382.0</v>
      </c>
      <c r="I5" s="10">
        <v>337.0</v>
      </c>
      <c r="K5" s="11">
        <v>587253.0</v>
      </c>
    </row>
    <row r="6">
      <c r="A6" s="1" t="s">
        <v>13</v>
      </c>
      <c r="B6" s="12"/>
      <c r="C6" s="12"/>
      <c r="D6" s="12"/>
      <c r="E6" s="12"/>
      <c r="F6" s="12"/>
      <c r="G6" s="12"/>
      <c r="H6" s="12"/>
      <c r="I6" s="12"/>
      <c r="K6" s="13">
        <f>K5/G3</f>
        <v>340.6339907</v>
      </c>
    </row>
    <row r="7">
      <c r="A7" s="14" t="s">
        <v>14</v>
      </c>
      <c r="B7" s="15">
        <v>6500.0</v>
      </c>
      <c r="C7" s="15">
        <v>6500.0</v>
      </c>
      <c r="D7" s="15">
        <v>6500.0</v>
      </c>
      <c r="E7" s="15">
        <v>6500.0</v>
      </c>
      <c r="F7" s="15">
        <v>6500.0</v>
      </c>
      <c r="G7" s="15">
        <v>6500.0</v>
      </c>
      <c r="H7" s="15">
        <v>6500.0</v>
      </c>
      <c r="I7" s="15">
        <v>6500.0</v>
      </c>
    </row>
    <row r="8">
      <c r="A8" s="16" t="s">
        <v>15</v>
      </c>
      <c r="B8" s="17">
        <v>2500.0</v>
      </c>
      <c r="C8" s="17">
        <v>2500.0</v>
      </c>
      <c r="D8" s="17">
        <v>2500.0</v>
      </c>
      <c r="E8" s="17">
        <v>2500.0</v>
      </c>
      <c r="F8" s="17">
        <v>2500.0</v>
      </c>
      <c r="G8" s="17">
        <v>2500.0</v>
      </c>
      <c r="H8" s="17">
        <v>2500.0</v>
      </c>
      <c r="I8" s="17">
        <v>2500.0</v>
      </c>
    </row>
    <row r="9">
      <c r="A9" s="16" t="s">
        <v>16</v>
      </c>
      <c r="B9" s="17">
        <v>4000.0</v>
      </c>
      <c r="C9" s="17">
        <v>4000.0</v>
      </c>
      <c r="D9" s="17">
        <v>4000.0</v>
      </c>
      <c r="E9" s="17">
        <v>4000.0</v>
      </c>
      <c r="F9" s="17">
        <v>4000.0</v>
      </c>
      <c r="G9" s="17">
        <v>4000.0</v>
      </c>
      <c r="H9" s="17">
        <v>4000.0</v>
      </c>
      <c r="I9" s="17">
        <v>4000.0</v>
      </c>
    </row>
    <row r="10">
      <c r="A10" s="16" t="s">
        <v>17</v>
      </c>
      <c r="B10" s="17">
        <v>0.0</v>
      </c>
      <c r="C10" s="17">
        <v>0.0</v>
      </c>
      <c r="D10" s="17">
        <v>0.0</v>
      </c>
      <c r="E10" s="17">
        <v>0.0</v>
      </c>
      <c r="F10" s="17">
        <v>0.0</v>
      </c>
      <c r="G10" s="17">
        <v>0.0</v>
      </c>
      <c r="H10" s="17">
        <v>0.0</v>
      </c>
      <c r="I10" s="17">
        <v>0.0</v>
      </c>
    </row>
    <row r="11">
      <c r="A11" s="16" t="s">
        <v>18</v>
      </c>
      <c r="B11" s="18">
        <v>0.0</v>
      </c>
      <c r="C11" s="18">
        <v>0.0</v>
      </c>
      <c r="D11" s="18">
        <v>0.0</v>
      </c>
      <c r="E11" s="18">
        <v>0.0</v>
      </c>
      <c r="F11" s="18">
        <v>0.0</v>
      </c>
      <c r="G11" s="18">
        <v>0.0</v>
      </c>
      <c r="H11" s="18">
        <v>0.0</v>
      </c>
      <c r="I11" s="18">
        <v>0.0</v>
      </c>
    </row>
    <row r="12">
      <c r="A12" s="16" t="s">
        <v>19</v>
      </c>
      <c r="B12" s="19">
        <v>6500.0</v>
      </c>
      <c r="C12" s="19">
        <v>6500.0</v>
      </c>
      <c r="D12" s="19">
        <v>6500.0</v>
      </c>
      <c r="E12" s="19">
        <v>6500.0</v>
      </c>
      <c r="F12" s="19">
        <v>6500.0</v>
      </c>
      <c r="G12" s="19">
        <v>6500.0</v>
      </c>
      <c r="H12" s="19">
        <v>6500.0</v>
      </c>
      <c r="I12" s="19">
        <v>6500.0</v>
      </c>
    </row>
    <row r="13">
      <c r="A13" s="20"/>
      <c r="B13" s="21"/>
      <c r="C13" s="21"/>
      <c r="D13" s="21"/>
      <c r="E13" s="21"/>
      <c r="F13" s="21"/>
      <c r="G13" s="22"/>
      <c r="H13" s="22"/>
      <c r="I13" s="21"/>
    </row>
    <row r="14">
      <c r="A14" s="14" t="s">
        <v>20</v>
      </c>
      <c r="B14" s="12"/>
      <c r="C14" s="12"/>
      <c r="D14" s="12"/>
      <c r="E14" s="12"/>
      <c r="F14" s="12"/>
      <c r="G14" s="12"/>
      <c r="H14" s="12"/>
      <c r="I14" s="12"/>
    </row>
    <row r="15">
      <c r="A15" s="23" t="s">
        <v>21</v>
      </c>
      <c r="B15" s="17">
        <v>10000.0</v>
      </c>
      <c r="C15" s="17">
        <v>10000.0</v>
      </c>
      <c r="D15" s="17">
        <v>10000.0</v>
      </c>
      <c r="E15" s="17">
        <v>10000.0</v>
      </c>
      <c r="F15" s="17">
        <v>10000.0</v>
      </c>
      <c r="G15" s="17">
        <v>10000.0</v>
      </c>
      <c r="H15" s="17">
        <v>10000.0</v>
      </c>
      <c r="I15" s="17">
        <v>10000.0</v>
      </c>
    </row>
    <row r="16">
      <c r="A16" s="16" t="s">
        <v>22</v>
      </c>
      <c r="B16" s="17">
        <v>5000.0</v>
      </c>
      <c r="C16" s="17">
        <v>0.0</v>
      </c>
      <c r="D16" s="17">
        <v>0.0</v>
      </c>
      <c r="E16" s="17">
        <v>0.0</v>
      </c>
      <c r="F16" s="17">
        <v>0.0</v>
      </c>
      <c r="G16" s="17">
        <v>0.0</v>
      </c>
      <c r="H16" s="17">
        <v>0.0</v>
      </c>
      <c r="I16" s="17">
        <v>0.0</v>
      </c>
    </row>
    <row r="17">
      <c r="A17" s="16" t="s">
        <v>23</v>
      </c>
      <c r="B17" s="17">
        <v>0.0</v>
      </c>
      <c r="C17" s="17">
        <v>0.0</v>
      </c>
      <c r="D17" s="17">
        <v>0.0</v>
      </c>
      <c r="E17" s="17">
        <v>0.0</v>
      </c>
      <c r="F17" s="17">
        <v>0.0</v>
      </c>
      <c r="G17" s="17">
        <v>0.0</v>
      </c>
      <c r="H17" s="17">
        <v>0.0</v>
      </c>
      <c r="I17" s="17">
        <v>0.0</v>
      </c>
    </row>
    <row r="18">
      <c r="A18" s="16" t="s">
        <v>24</v>
      </c>
      <c r="B18" s="17">
        <v>2500.0</v>
      </c>
      <c r="C18" s="17">
        <v>2500.0</v>
      </c>
      <c r="D18" s="17">
        <v>2500.0</v>
      </c>
      <c r="E18" s="17">
        <v>15000.0</v>
      </c>
      <c r="F18" s="17">
        <v>15000.0</v>
      </c>
      <c r="G18" s="17">
        <v>15000.0</v>
      </c>
      <c r="H18" s="17">
        <v>15000.0</v>
      </c>
      <c r="I18" s="17">
        <v>15000.0</v>
      </c>
    </row>
    <row r="19">
      <c r="A19" s="16" t="s">
        <v>25</v>
      </c>
      <c r="B19" s="17">
        <v>1500.0</v>
      </c>
      <c r="C19" s="17">
        <v>1500.0</v>
      </c>
      <c r="D19" s="17">
        <v>1500.0</v>
      </c>
      <c r="E19" s="17">
        <v>8500.0</v>
      </c>
      <c r="F19" s="17">
        <v>8500.0</v>
      </c>
      <c r="G19" s="17">
        <v>8500.0</v>
      </c>
      <c r="H19" s="17">
        <v>8500.0</v>
      </c>
      <c r="I19" s="17">
        <v>8500.0</v>
      </c>
    </row>
    <row r="20">
      <c r="A20" s="16" t="s">
        <v>26</v>
      </c>
      <c r="B20" s="24">
        <v>23750.0</v>
      </c>
      <c r="C20" s="24">
        <v>28750.0</v>
      </c>
      <c r="D20" s="24">
        <v>34750.0</v>
      </c>
      <c r="E20" s="24">
        <v>75250.0</v>
      </c>
      <c r="F20" s="24">
        <v>80000.0</v>
      </c>
      <c r="G20" s="24">
        <v>78937.5</v>
      </c>
      <c r="H20" s="24">
        <v>78937.5</v>
      </c>
      <c r="I20" s="24">
        <v>93000.0</v>
      </c>
    </row>
    <row r="21">
      <c r="A21" s="16" t="s">
        <v>27</v>
      </c>
      <c r="B21" s="24">
        <v>0.0</v>
      </c>
      <c r="C21" s="24">
        <v>0.0</v>
      </c>
      <c r="D21" s="24">
        <v>0.0</v>
      </c>
      <c r="E21" s="24">
        <v>14554.0</v>
      </c>
      <c r="F21" s="24">
        <v>16758.0</v>
      </c>
      <c r="G21" s="24">
        <v>23750.0</v>
      </c>
      <c r="H21" s="24">
        <v>27436.0</v>
      </c>
      <c r="I21" s="24">
        <v>23750.0</v>
      </c>
    </row>
    <row r="22">
      <c r="A22" s="16" t="s">
        <v>28</v>
      </c>
      <c r="B22" s="24">
        <v>0.0</v>
      </c>
      <c r="C22" s="24">
        <v>0.0</v>
      </c>
      <c r="D22" s="24">
        <v>0.0</v>
      </c>
      <c r="E22" s="24">
        <v>19800.0</v>
      </c>
      <c r="F22" s="24">
        <v>14400.0</v>
      </c>
      <c r="G22" s="24">
        <v>16200.0</v>
      </c>
      <c r="H22" s="24">
        <v>19800.0</v>
      </c>
      <c r="I22" s="24">
        <v>12600.0</v>
      </c>
    </row>
    <row r="23">
      <c r="A23" s="16" t="s">
        <v>29</v>
      </c>
      <c r="B23" s="24">
        <v>0.0</v>
      </c>
      <c r="C23" s="24">
        <v>0.0</v>
      </c>
      <c r="D23" s="24">
        <v>0.0</v>
      </c>
      <c r="E23" s="24">
        <v>10512.0</v>
      </c>
      <c r="F23" s="24">
        <v>12192.0</v>
      </c>
      <c r="G23" s="24">
        <v>17520.0</v>
      </c>
      <c r="H23" s="24">
        <v>17052.0</v>
      </c>
      <c r="I23" s="24">
        <v>13644.0</v>
      </c>
    </row>
    <row r="24">
      <c r="A24" s="16" t="s">
        <v>30</v>
      </c>
      <c r="B24" s="24">
        <v>3610.0</v>
      </c>
      <c r="C24" s="24">
        <v>4560.0</v>
      </c>
      <c r="D24" s="24">
        <v>5670.0</v>
      </c>
      <c r="E24" s="24">
        <v>8630.0</v>
      </c>
      <c r="F24" s="24">
        <v>9945.0</v>
      </c>
      <c r="G24" s="24">
        <v>13155.0</v>
      </c>
      <c r="H24" s="24">
        <v>13000.0</v>
      </c>
      <c r="I24" s="24">
        <v>12040.0</v>
      </c>
    </row>
    <row r="25">
      <c r="A25" s="16" t="s">
        <v>31</v>
      </c>
      <c r="B25" s="24">
        <v>1000.0</v>
      </c>
      <c r="C25" s="24">
        <v>1200.0</v>
      </c>
      <c r="D25" s="24">
        <v>1440.0</v>
      </c>
      <c r="E25" s="24">
        <v>1440.0</v>
      </c>
      <c r="F25" s="24">
        <v>1920.0</v>
      </c>
      <c r="G25" s="24">
        <v>2380.0</v>
      </c>
      <c r="H25" s="24">
        <v>2380.0</v>
      </c>
      <c r="I25" s="24">
        <v>2200.0</v>
      </c>
    </row>
    <row r="26">
      <c r="A26" s="16" t="s">
        <v>32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</row>
    <row r="27">
      <c r="A27" s="16" t="s">
        <v>33</v>
      </c>
      <c r="B27" s="24">
        <v>0.0</v>
      </c>
      <c r="C27" s="24">
        <v>0.0</v>
      </c>
      <c r="D27" s="24">
        <v>0.0</v>
      </c>
      <c r="E27" s="24">
        <v>2880.0</v>
      </c>
      <c r="F27" s="24">
        <v>3600.0</v>
      </c>
      <c r="G27" s="24">
        <v>3600.0</v>
      </c>
      <c r="H27" s="24">
        <v>2880.0</v>
      </c>
      <c r="I27" s="24">
        <v>2880.0</v>
      </c>
    </row>
    <row r="28">
      <c r="A28" s="16" t="s">
        <v>34</v>
      </c>
      <c r="B28" s="18">
        <v>10000.0</v>
      </c>
      <c r="C28" s="18">
        <v>10000.0</v>
      </c>
      <c r="D28" s="18">
        <v>10000.0</v>
      </c>
      <c r="E28" s="18">
        <v>48000.0</v>
      </c>
      <c r="F28" s="18">
        <v>48000.0</v>
      </c>
      <c r="G28" s="18">
        <v>48000.0</v>
      </c>
      <c r="H28" s="18">
        <v>48000.0</v>
      </c>
      <c r="I28" s="18">
        <v>48000.0</v>
      </c>
    </row>
    <row r="29">
      <c r="A29" s="16" t="s">
        <v>19</v>
      </c>
      <c r="B29" s="19">
        <v>57360.0</v>
      </c>
      <c r="C29" s="19">
        <v>58510.0</v>
      </c>
      <c r="D29" s="19">
        <v>65860.0</v>
      </c>
      <c r="E29" s="19">
        <v>214566.0</v>
      </c>
      <c r="F29" s="19">
        <v>220315.0</v>
      </c>
      <c r="G29" s="19">
        <v>237042.5</v>
      </c>
      <c r="H29" s="19">
        <v>242985.5</v>
      </c>
      <c r="I29" s="19">
        <v>241614.0</v>
      </c>
    </row>
    <row r="30">
      <c r="A30" s="20"/>
      <c r="B30" s="21"/>
      <c r="C30" s="21"/>
      <c r="D30" s="21"/>
      <c r="E30" s="21"/>
      <c r="F30" s="21"/>
      <c r="G30" s="22"/>
      <c r="H30" s="22"/>
      <c r="I30" s="21"/>
    </row>
    <row r="31">
      <c r="A31" s="14" t="s">
        <v>35</v>
      </c>
      <c r="B31" s="12"/>
      <c r="C31" s="12"/>
      <c r="D31" s="12"/>
      <c r="E31" s="12"/>
      <c r="F31" s="12"/>
      <c r="G31" s="12"/>
      <c r="H31" s="12"/>
      <c r="I31" s="12"/>
    </row>
    <row r="32">
      <c r="A32" s="16" t="s">
        <v>36</v>
      </c>
      <c r="B32" s="24">
        <v>10000.0</v>
      </c>
      <c r="C32" s="24">
        <v>10000.0</v>
      </c>
      <c r="D32" s="24">
        <v>10000.0</v>
      </c>
      <c r="E32" s="24">
        <v>40000.0</v>
      </c>
      <c r="F32" s="24">
        <v>40000.0</v>
      </c>
      <c r="G32" s="24">
        <v>40000.0</v>
      </c>
      <c r="H32" s="24">
        <v>40000.0</v>
      </c>
      <c r="I32" s="24">
        <v>40000.0</v>
      </c>
    </row>
    <row r="33">
      <c r="A33" s="16" t="s">
        <v>37</v>
      </c>
      <c r="B33" s="24">
        <v>5000.0</v>
      </c>
      <c r="C33" s="24">
        <v>5000.0</v>
      </c>
      <c r="D33" s="24">
        <v>5000.0</v>
      </c>
      <c r="E33" s="24">
        <v>20000.0</v>
      </c>
      <c r="F33" s="24">
        <v>20000.0</v>
      </c>
      <c r="G33" s="24">
        <v>20000.0</v>
      </c>
      <c r="H33" s="24">
        <v>20000.0</v>
      </c>
      <c r="I33" s="24">
        <v>20000.0</v>
      </c>
    </row>
    <row r="34">
      <c r="A34" s="16" t="s">
        <v>38</v>
      </c>
      <c r="B34" s="18">
        <v>1500.0</v>
      </c>
      <c r="C34" s="18">
        <v>1500.0</v>
      </c>
      <c r="D34" s="18">
        <v>1500.0</v>
      </c>
      <c r="E34" s="18">
        <v>5000.0</v>
      </c>
      <c r="F34" s="18">
        <v>5000.0</v>
      </c>
      <c r="G34" s="18">
        <v>5000.0</v>
      </c>
      <c r="H34" s="18">
        <v>5000.0</v>
      </c>
      <c r="I34" s="18">
        <v>5000.0</v>
      </c>
    </row>
    <row r="35">
      <c r="A35" s="25" t="s">
        <v>39</v>
      </c>
      <c r="B35" s="19">
        <v>16500.0</v>
      </c>
      <c r="C35" s="19">
        <v>16500.0</v>
      </c>
      <c r="D35" s="19">
        <v>16500.0</v>
      </c>
      <c r="E35" s="19">
        <v>65000.0</v>
      </c>
      <c r="F35" s="19">
        <v>65000.0</v>
      </c>
      <c r="G35" s="19">
        <v>65000.0</v>
      </c>
      <c r="H35" s="19">
        <v>65000.0</v>
      </c>
      <c r="I35" s="19">
        <v>65000.0</v>
      </c>
    </row>
    <row r="36">
      <c r="A36" s="20"/>
      <c r="B36" s="21"/>
      <c r="C36" s="21"/>
      <c r="D36" s="21"/>
      <c r="E36" s="21"/>
      <c r="F36" s="21"/>
      <c r="G36" s="22"/>
      <c r="H36" s="22"/>
      <c r="I36" s="21"/>
    </row>
    <row r="37">
      <c r="A37" s="14" t="s">
        <v>40</v>
      </c>
      <c r="B37" s="12"/>
      <c r="C37" s="12"/>
      <c r="D37" s="12"/>
      <c r="E37" s="12"/>
      <c r="F37" s="12"/>
      <c r="G37" s="12"/>
      <c r="H37" s="12"/>
      <c r="I37" s="12"/>
    </row>
    <row r="38">
      <c r="A38" s="2" t="s">
        <v>41</v>
      </c>
      <c r="B38" s="17">
        <v>0.0</v>
      </c>
      <c r="C38" s="17">
        <v>0.0</v>
      </c>
      <c r="D38" s="17">
        <v>0.0</v>
      </c>
      <c r="E38" s="17">
        <v>0.0</v>
      </c>
      <c r="F38" s="17">
        <v>0.0</v>
      </c>
      <c r="G38" s="17">
        <v>0.0</v>
      </c>
      <c r="H38" s="17">
        <v>0.0</v>
      </c>
      <c r="I38" s="17">
        <v>0.0</v>
      </c>
    </row>
    <row r="39">
      <c r="A39" s="2" t="s">
        <v>42</v>
      </c>
      <c r="B39" s="17">
        <v>0.0</v>
      </c>
      <c r="C39" s="17">
        <v>0.0</v>
      </c>
      <c r="D39" s="17">
        <v>0.0</v>
      </c>
      <c r="E39" s="17">
        <v>0.0</v>
      </c>
      <c r="F39" s="17">
        <v>0.0</v>
      </c>
      <c r="G39" s="17">
        <v>0.0</v>
      </c>
      <c r="H39" s="17">
        <v>0.0</v>
      </c>
      <c r="I39" s="17">
        <v>0.0</v>
      </c>
    </row>
    <row r="40">
      <c r="A40" s="2" t="s">
        <v>43</v>
      </c>
      <c r="B40" s="17">
        <v>0.0</v>
      </c>
      <c r="C40" s="17">
        <v>0.0</v>
      </c>
      <c r="D40" s="17">
        <v>0.0</v>
      </c>
      <c r="E40" s="17">
        <v>0.0</v>
      </c>
      <c r="F40" s="17">
        <v>0.0</v>
      </c>
      <c r="G40" s="17">
        <v>0.0</v>
      </c>
      <c r="H40" s="17">
        <v>0.0</v>
      </c>
      <c r="I40" s="17">
        <v>0.0</v>
      </c>
    </row>
    <row r="41">
      <c r="A41" s="2" t="s">
        <v>44</v>
      </c>
      <c r="B41" s="17">
        <v>0.0</v>
      </c>
      <c r="C41" s="17">
        <v>0.0</v>
      </c>
      <c r="D41" s="17">
        <v>0.0</v>
      </c>
      <c r="E41" s="17">
        <v>0.0</v>
      </c>
      <c r="F41" s="17">
        <v>0.0</v>
      </c>
      <c r="G41" s="17">
        <v>0.0</v>
      </c>
      <c r="H41" s="17">
        <v>0.0</v>
      </c>
      <c r="I41" s="17">
        <v>0.0</v>
      </c>
    </row>
    <row r="42">
      <c r="A42" s="2" t="s">
        <v>45</v>
      </c>
      <c r="B42" s="17">
        <v>0.0</v>
      </c>
      <c r="C42" s="17">
        <v>0.0</v>
      </c>
      <c r="D42" s="17">
        <v>0.0</v>
      </c>
      <c r="E42" s="17">
        <v>0.0</v>
      </c>
      <c r="F42" s="17">
        <v>0.0</v>
      </c>
      <c r="G42" s="17">
        <v>0.0</v>
      </c>
      <c r="H42" s="17">
        <v>0.0</v>
      </c>
      <c r="I42" s="17">
        <v>0.0</v>
      </c>
    </row>
    <row r="43">
      <c r="A43" s="2" t="s">
        <v>46</v>
      </c>
      <c r="B43" s="17">
        <v>0.0</v>
      </c>
      <c r="C43" s="17">
        <v>0.0</v>
      </c>
      <c r="D43" s="17">
        <v>0.0</v>
      </c>
      <c r="E43" s="17">
        <v>0.0</v>
      </c>
      <c r="F43" s="17">
        <v>0.0</v>
      </c>
      <c r="G43" s="17">
        <v>0.0</v>
      </c>
      <c r="H43" s="17">
        <v>0.0</v>
      </c>
      <c r="I43" s="17">
        <v>0.0</v>
      </c>
    </row>
    <row r="44">
      <c r="A44" s="2" t="s">
        <v>47</v>
      </c>
      <c r="B44" s="17">
        <v>0.0</v>
      </c>
      <c r="C44" s="17">
        <v>0.0</v>
      </c>
      <c r="D44" s="17">
        <v>0.0</v>
      </c>
      <c r="E44" s="17">
        <v>20000.0</v>
      </c>
      <c r="F44" s="17">
        <v>20000.0</v>
      </c>
      <c r="G44" s="17">
        <v>20000.0</v>
      </c>
      <c r="H44" s="17">
        <v>20000.0</v>
      </c>
      <c r="I44" s="17">
        <v>20000.0</v>
      </c>
    </row>
    <row r="45">
      <c r="A45" s="2" t="s">
        <v>48</v>
      </c>
      <c r="B45" s="17">
        <v>0.0</v>
      </c>
      <c r="C45" s="17">
        <v>0.0</v>
      </c>
      <c r="D45" s="17">
        <v>0.0</v>
      </c>
      <c r="E45" s="17">
        <v>0.0</v>
      </c>
      <c r="F45" s="17">
        <v>0.0</v>
      </c>
      <c r="G45" s="17">
        <v>0.0</v>
      </c>
      <c r="H45" s="17">
        <v>0.0</v>
      </c>
      <c r="I45" s="17">
        <v>0.0</v>
      </c>
    </row>
    <row r="46">
      <c r="A46" s="2" t="s">
        <v>49</v>
      </c>
      <c r="B46" s="17">
        <v>0.0</v>
      </c>
      <c r="C46" s="17">
        <v>0.0</v>
      </c>
      <c r="D46" s="17">
        <v>0.0</v>
      </c>
      <c r="E46" s="17">
        <v>0.0</v>
      </c>
      <c r="F46" s="17">
        <v>0.0</v>
      </c>
      <c r="G46" s="17">
        <v>0.0</v>
      </c>
      <c r="H46" s="17">
        <v>0.0</v>
      </c>
      <c r="I46" s="17">
        <v>0.0</v>
      </c>
    </row>
    <row r="47">
      <c r="A47" s="2" t="s">
        <v>50</v>
      </c>
      <c r="B47" s="18">
        <v>2500.0</v>
      </c>
      <c r="C47" s="18">
        <v>2500.0</v>
      </c>
      <c r="D47" s="18">
        <v>2500.0</v>
      </c>
      <c r="E47" s="18">
        <v>2500.0</v>
      </c>
      <c r="F47" s="18">
        <v>2500.0</v>
      </c>
      <c r="G47" s="18">
        <v>2500.0</v>
      </c>
      <c r="H47" s="18">
        <v>2500.0</v>
      </c>
      <c r="I47" s="18">
        <v>2500.0</v>
      </c>
    </row>
    <row r="48">
      <c r="A48" s="2" t="s">
        <v>51</v>
      </c>
      <c r="B48" s="19">
        <v>2500.0</v>
      </c>
      <c r="C48" s="19">
        <v>2500.0</v>
      </c>
      <c r="D48" s="19">
        <v>2500.0</v>
      </c>
      <c r="E48" s="19">
        <v>22500.0</v>
      </c>
      <c r="F48" s="19">
        <v>22500.0</v>
      </c>
      <c r="G48" s="19">
        <v>22500.0</v>
      </c>
      <c r="H48" s="19">
        <v>22500.0</v>
      </c>
      <c r="I48" s="19">
        <v>22500.0</v>
      </c>
    </row>
    <row r="49">
      <c r="A49" s="21"/>
      <c r="B49" s="21"/>
      <c r="C49" s="21"/>
      <c r="D49" s="21"/>
      <c r="E49" s="21"/>
      <c r="F49" s="21"/>
      <c r="G49" s="21"/>
      <c r="H49" s="21"/>
      <c r="I49" s="21"/>
    </row>
    <row r="50">
      <c r="A50" s="14" t="s">
        <v>52</v>
      </c>
      <c r="B50" s="12"/>
      <c r="C50" s="12"/>
      <c r="D50" s="12"/>
      <c r="E50" s="12"/>
      <c r="F50" s="12"/>
      <c r="G50" s="12"/>
      <c r="H50" s="12"/>
      <c r="I50" s="12"/>
    </row>
    <row r="51">
      <c r="A51" s="2" t="s">
        <v>53</v>
      </c>
      <c r="B51" s="17">
        <v>5000.0</v>
      </c>
      <c r="C51" s="17">
        <v>5000.0</v>
      </c>
      <c r="D51" s="17">
        <v>5000.0</v>
      </c>
      <c r="E51" s="17">
        <v>5000.0</v>
      </c>
      <c r="F51" s="17">
        <v>5000.0</v>
      </c>
      <c r="G51" s="17">
        <v>5000.0</v>
      </c>
      <c r="H51" s="17">
        <v>5000.0</v>
      </c>
      <c r="I51" s="17">
        <v>5000.0</v>
      </c>
    </row>
    <row r="52">
      <c r="A52" s="2" t="s">
        <v>54</v>
      </c>
      <c r="B52" s="17">
        <v>1500.0</v>
      </c>
      <c r="C52" s="17">
        <v>1500.0</v>
      </c>
      <c r="D52" s="17">
        <v>1500.0</v>
      </c>
      <c r="E52" s="17">
        <v>1500.0</v>
      </c>
      <c r="F52" s="17">
        <v>1500.0</v>
      </c>
      <c r="G52" s="17">
        <v>1500.0</v>
      </c>
      <c r="H52" s="17">
        <v>1500.0</v>
      </c>
      <c r="I52" s="17">
        <v>1500.0</v>
      </c>
    </row>
    <row r="53">
      <c r="A53" s="2" t="s">
        <v>55</v>
      </c>
      <c r="B53" s="18">
        <v>1500.0</v>
      </c>
      <c r="C53" s="18">
        <v>1500.0</v>
      </c>
      <c r="D53" s="18">
        <v>1500.0</v>
      </c>
      <c r="E53" s="18">
        <v>1500.0</v>
      </c>
      <c r="F53" s="18">
        <v>1500.0</v>
      </c>
      <c r="G53" s="18">
        <v>1500.0</v>
      </c>
      <c r="H53" s="18">
        <v>1500.0</v>
      </c>
      <c r="I53" s="18">
        <v>1500.0</v>
      </c>
    </row>
    <row r="54">
      <c r="A54" s="2" t="s">
        <v>39</v>
      </c>
      <c r="B54" s="19">
        <v>8000.0</v>
      </c>
      <c r="C54" s="19">
        <v>8000.0</v>
      </c>
      <c r="D54" s="19">
        <v>8000.0</v>
      </c>
      <c r="E54" s="19">
        <v>8000.0</v>
      </c>
      <c r="F54" s="19">
        <v>8000.0</v>
      </c>
      <c r="G54" s="19">
        <v>8000.0</v>
      </c>
      <c r="H54" s="19">
        <v>8000.0</v>
      </c>
      <c r="I54" s="19">
        <v>8000.0</v>
      </c>
    </row>
    <row r="55">
      <c r="A55" s="21"/>
      <c r="B55" s="21"/>
      <c r="C55" s="21"/>
      <c r="D55" s="21"/>
      <c r="E55" s="21"/>
      <c r="F55" s="21"/>
      <c r="G55" s="21"/>
      <c r="H55" s="21"/>
      <c r="I55" s="21"/>
    </row>
    <row r="56">
      <c r="A56" s="26" t="s">
        <v>56</v>
      </c>
      <c r="B56" s="27">
        <v>104489.0</v>
      </c>
      <c r="C56" s="27">
        <v>105811.5</v>
      </c>
      <c r="D56" s="27">
        <v>114264.0</v>
      </c>
      <c r="E56" s="27">
        <v>364050.9</v>
      </c>
      <c r="F56" s="27">
        <v>370662.25</v>
      </c>
      <c r="G56" s="27">
        <v>389898.88</v>
      </c>
      <c r="H56" s="27">
        <v>396733.33</v>
      </c>
      <c r="I56" s="27">
        <v>395156.1</v>
      </c>
    </row>
    <row r="57">
      <c r="A57" s="1" t="s">
        <v>57</v>
      </c>
      <c r="B57" s="28">
        <v>310556.0</v>
      </c>
      <c r="C57" s="28">
        <v>371278.0</v>
      </c>
      <c r="D57" s="28">
        <v>435464.0</v>
      </c>
      <c r="E57" s="28">
        <v>798478.0</v>
      </c>
      <c r="F57" s="28">
        <v>846742.0</v>
      </c>
      <c r="G57" s="28">
        <v>935499.0</v>
      </c>
      <c r="H57" s="28">
        <v>942333.0</v>
      </c>
      <c r="I57" s="28">
        <v>982996.0</v>
      </c>
    </row>
    <row r="58">
      <c r="A58" s="29"/>
      <c r="B58" s="30">
        <f t="shared" ref="B58:I58" si="1">B57/B3</f>
        <v>569.8275229</v>
      </c>
      <c r="C58" s="30">
        <f t="shared" si="1"/>
        <v>528.8860399</v>
      </c>
      <c r="D58" s="30">
        <f t="shared" si="1"/>
        <v>490.940248</v>
      </c>
      <c r="E58" s="30">
        <f t="shared" si="1"/>
        <v>538.0579515</v>
      </c>
      <c r="F58" s="30">
        <f t="shared" si="1"/>
        <v>503.7132659</v>
      </c>
      <c r="G58" s="30">
        <f t="shared" si="1"/>
        <v>542.6328306</v>
      </c>
      <c r="H58" s="30">
        <f t="shared" si="1"/>
        <v>546.5968677</v>
      </c>
      <c r="I58" s="30">
        <f t="shared" si="1"/>
        <v>478.809547</v>
      </c>
    </row>
    <row r="59">
      <c r="A59" s="1" t="s">
        <v>58</v>
      </c>
      <c r="B59" s="1"/>
      <c r="C59" s="1"/>
      <c r="D59" s="1"/>
      <c r="E59" s="1"/>
      <c r="F59" s="1"/>
      <c r="G59" s="1"/>
      <c r="H59" s="1"/>
      <c r="I59" s="1"/>
    </row>
    <row r="60">
      <c r="A60" s="2" t="s">
        <v>59</v>
      </c>
      <c r="B60" s="19">
        <v>0.0</v>
      </c>
      <c r="C60" s="19">
        <v>0.0</v>
      </c>
      <c r="D60" s="19">
        <v>0.0</v>
      </c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</row>
    <row r="61">
      <c r="A61" s="2" t="s">
        <v>60</v>
      </c>
      <c r="B61" s="19">
        <v>0.0</v>
      </c>
      <c r="C61" s="19">
        <v>0.0</v>
      </c>
      <c r="D61" s="19">
        <v>0.0</v>
      </c>
      <c r="E61" s="19">
        <v>0.0</v>
      </c>
      <c r="F61" s="19">
        <v>0.0</v>
      </c>
      <c r="G61" s="19">
        <v>0.0</v>
      </c>
      <c r="H61" s="19">
        <v>0.0</v>
      </c>
      <c r="I61" s="19">
        <v>0.0</v>
      </c>
    </row>
    <row r="62">
      <c r="A62" s="2" t="s">
        <v>61</v>
      </c>
      <c r="B62" s="19">
        <v>0.0</v>
      </c>
      <c r="C62" s="19">
        <v>0.0</v>
      </c>
      <c r="D62" s="19">
        <v>0.0</v>
      </c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</row>
    <row r="63">
      <c r="A63" s="2" t="s">
        <v>62</v>
      </c>
      <c r="B63" s="19">
        <v>12974.95</v>
      </c>
      <c r="C63" s="19">
        <v>15768.12</v>
      </c>
      <c r="D63" s="19">
        <v>18932.71</v>
      </c>
      <c r="E63" s="19">
        <v>19292.14</v>
      </c>
      <c r="F63" s="19">
        <v>25718.71</v>
      </c>
      <c r="G63" s="19">
        <v>21918.94</v>
      </c>
      <c r="H63" s="19">
        <v>24023.53</v>
      </c>
      <c r="I63" s="19">
        <v>26254.64</v>
      </c>
    </row>
    <row r="64">
      <c r="A64" s="2" t="s">
        <v>63</v>
      </c>
      <c r="B64" s="31" t="s">
        <v>64</v>
      </c>
      <c r="C64" s="31" t="s">
        <v>64</v>
      </c>
      <c r="D64" s="31" t="s">
        <v>64</v>
      </c>
      <c r="E64" s="19">
        <v>17600.02</v>
      </c>
      <c r="F64" s="19">
        <v>23462.92</v>
      </c>
      <c r="G64" s="19">
        <v>19996.43</v>
      </c>
      <c r="H64" s="19">
        <v>21916.42</v>
      </c>
      <c r="I64" s="19">
        <v>23951.84</v>
      </c>
    </row>
    <row r="65">
      <c r="A65" s="2" t="s">
        <v>65</v>
      </c>
      <c r="B65" s="19">
        <v>10698.88</v>
      </c>
      <c r="C65" s="19">
        <v>13002.07</v>
      </c>
      <c r="D65" s="19">
        <v>15611.53</v>
      </c>
      <c r="E65" s="19">
        <v>15907.91</v>
      </c>
      <c r="F65" s="19">
        <v>21207.13</v>
      </c>
      <c r="G65" s="19">
        <v>18073.92</v>
      </c>
      <c r="H65" s="19">
        <v>19809.32</v>
      </c>
      <c r="I65" s="19">
        <v>21649.04</v>
      </c>
    </row>
    <row r="66">
      <c r="A66" s="2" t="s">
        <v>66</v>
      </c>
      <c r="B66" s="19">
        <v>4750.0</v>
      </c>
      <c r="C66" s="19">
        <v>4750.0</v>
      </c>
      <c r="D66" s="19">
        <v>4750.0</v>
      </c>
      <c r="E66" s="19">
        <v>4750.0</v>
      </c>
      <c r="F66" s="19">
        <v>4750.0</v>
      </c>
      <c r="G66" s="19">
        <v>4750.0</v>
      </c>
      <c r="H66" s="19">
        <v>4750.0</v>
      </c>
      <c r="I66" s="19">
        <v>4750.0</v>
      </c>
    </row>
    <row r="67">
      <c r="A67" s="2" t="s">
        <v>67</v>
      </c>
      <c r="B67" s="19">
        <v>10000.0</v>
      </c>
      <c r="C67" s="19">
        <v>10000.0</v>
      </c>
      <c r="D67" s="19">
        <v>10000.0</v>
      </c>
      <c r="E67" s="19">
        <v>10000.0</v>
      </c>
      <c r="F67" s="19">
        <v>10000.0</v>
      </c>
      <c r="G67" s="19">
        <v>10000.0</v>
      </c>
      <c r="H67" s="19">
        <v>10000.0</v>
      </c>
      <c r="I67" s="19">
        <v>10000.0</v>
      </c>
    </row>
    <row r="68">
      <c r="A68" s="2" t="s">
        <v>68</v>
      </c>
      <c r="B68" s="31" t="s">
        <v>64</v>
      </c>
      <c r="C68" s="31" t="s">
        <v>64</v>
      </c>
      <c r="D68" s="31" t="s">
        <v>64</v>
      </c>
      <c r="E68" s="19">
        <v>9500.0</v>
      </c>
      <c r="F68" s="19">
        <v>9500.0</v>
      </c>
      <c r="G68" s="19">
        <v>9500.0</v>
      </c>
      <c r="H68" s="19">
        <v>9500.0</v>
      </c>
      <c r="I68" s="19">
        <v>9500.0</v>
      </c>
    </row>
    <row r="69">
      <c r="A69" s="2" t="s">
        <v>69</v>
      </c>
      <c r="B69" s="31" t="s">
        <v>64</v>
      </c>
      <c r="C69" s="31" t="s">
        <v>64</v>
      </c>
      <c r="D69" s="31" t="s">
        <v>64</v>
      </c>
      <c r="E69" s="19">
        <v>5500.0</v>
      </c>
      <c r="F69" s="19">
        <v>5500.0</v>
      </c>
      <c r="G69" s="19">
        <v>5500.0</v>
      </c>
      <c r="H69" s="19">
        <v>5500.0</v>
      </c>
      <c r="I69" s="19">
        <v>5500.0</v>
      </c>
    </row>
    <row r="70">
      <c r="A70" s="2" t="s">
        <v>70</v>
      </c>
      <c r="B70" s="31" t="s">
        <v>64</v>
      </c>
      <c r="C70" s="31" t="s">
        <v>64</v>
      </c>
      <c r="D70" s="31" t="s">
        <v>64</v>
      </c>
      <c r="E70" s="31" t="s">
        <v>64</v>
      </c>
      <c r="F70" s="31" t="s">
        <v>64</v>
      </c>
      <c r="G70" s="19">
        <v>12500.0</v>
      </c>
      <c r="H70" s="31" t="s">
        <v>64</v>
      </c>
      <c r="I70" s="31" t="s">
        <v>64</v>
      </c>
    </row>
    <row r="71">
      <c r="A71" s="2" t="s">
        <v>71</v>
      </c>
      <c r="B71" s="31" t="s">
        <v>64</v>
      </c>
      <c r="C71" s="31" t="s">
        <v>64</v>
      </c>
      <c r="D71" s="31" t="s">
        <v>64</v>
      </c>
      <c r="E71" s="19">
        <v>2064.0</v>
      </c>
      <c r="F71" s="19">
        <v>3482.5</v>
      </c>
      <c r="G71" s="19">
        <v>3482.5</v>
      </c>
      <c r="H71" s="19">
        <v>14375.0</v>
      </c>
      <c r="I71" s="19">
        <v>2064.0</v>
      </c>
    </row>
    <row r="72">
      <c r="A72" s="2" t="s">
        <v>72</v>
      </c>
      <c r="B72" s="19">
        <v>2005.83</v>
      </c>
      <c r="C72" s="19">
        <v>2005.83</v>
      </c>
      <c r="D72" s="19">
        <v>2746.17</v>
      </c>
      <c r="E72" s="19">
        <v>3609.17</v>
      </c>
      <c r="F72" s="19">
        <v>4879.5</v>
      </c>
      <c r="G72" s="19">
        <v>4879.5</v>
      </c>
      <c r="H72" s="19">
        <v>4879.5</v>
      </c>
      <c r="I72" s="19">
        <v>4879.5</v>
      </c>
    </row>
    <row r="73">
      <c r="A73" s="2" t="s">
        <v>73</v>
      </c>
      <c r="B73" s="19">
        <v>3292.5</v>
      </c>
      <c r="C73" s="19">
        <v>3292.5</v>
      </c>
      <c r="D73" s="19">
        <v>3292.5</v>
      </c>
      <c r="E73" s="19">
        <v>3292.5</v>
      </c>
      <c r="F73" s="19">
        <v>3292.5</v>
      </c>
      <c r="G73" s="19">
        <v>3292.5</v>
      </c>
      <c r="H73" s="19">
        <v>3292.5</v>
      </c>
      <c r="I73" s="19">
        <v>3292.5</v>
      </c>
    </row>
    <row r="74">
      <c r="A74" s="2" t="s">
        <v>74</v>
      </c>
      <c r="B74" s="19">
        <v>2500.0</v>
      </c>
      <c r="C74" s="19">
        <v>2500.0</v>
      </c>
      <c r="D74" s="19">
        <v>2500.0</v>
      </c>
      <c r="E74" s="19">
        <v>6500.0</v>
      </c>
      <c r="F74" s="19">
        <v>6500.0</v>
      </c>
      <c r="G74" s="19">
        <v>6500.0</v>
      </c>
      <c r="H74" s="19">
        <v>6500.0</v>
      </c>
      <c r="I74" s="19">
        <v>6500.0</v>
      </c>
    </row>
    <row r="75">
      <c r="A75" s="2" t="s">
        <v>75</v>
      </c>
      <c r="B75" s="19">
        <v>2940.0</v>
      </c>
      <c r="C75" s="19">
        <v>2940.0</v>
      </c>
      <c r="D75" s="19">
        <v>3395.0</v>
      </c>
      <c r="E75" s="19">
        <v>4911.67</v>
      </c>
      <c r="F75" s="19">
        <v>4911.67</v>
      </c>
      <c r="G75" s="19">
        <v>5670.0</v>
      </c>
      <c r="H75" s="19">
        <v>5670.0</v>
      </c>
      <c r="I75" s="19">
        <v>5670.0</v>
      </c>
    </row>
    <row r="76">
      <c r="A76" s="2" t="s">
        <v>76</v>
      </c>
      <c r="B76" s="19">
        <v>1500.0</v>
      </c>
      <c r="C76" s="19">
        <v>1500.0</v>
      </c>
      <c r="D76" s="19">
        <v>1500.0</v>
      </c>
      <c r="E76" s="19">
        <v>1800.0</v>
      </c>
      <c r="F76" s="19">
        <v>1800.0</v>
      </c>
      <c r="G76" s="19">
        <v>2100.0</v>
      </c>
      <c r="H76" s="19">
        <v>2100.0</v>
      </c>
      <c r="I76" s="19">
        <v>2100.0</v>
      </c>
    </row>
    <row r="77">
      <c r="A77" s="2" t="s">
        <v>77</v>
      </c>
      <c r="B77" s="19">
        <v>2400.0</v>
      </c>
      <c r="C77" s="19">
        <v>2400.0</v>
      </c>
      <c r="D77" s="19">
        <v>2400.0</v>
      </c>
      <c r="E77" s="19">
        <v>2400.0</v>
      </c>
      <c r="F77" s="19">
        <v>2400.0</v>
      </c>
      <c r="G77" s="19">
        <v>2400.0</v>
      </c>
      <c r="H77" s="19">
        <v>2400.0</v>
      </c>
      <c r="I77" s="19">
        <v>2400.0</v>
      </c>
    </row>
    <row r="78">
      <c r="A78" s="2" t="s">
        <v>78</v>
      </c>
      <c r="B78" s="32"/>
      <c r="C78" s="32"/>
      <c r="D78" s="32"/>
      <c r="E78" s="32"/>
      <c r="F78" s="32"/>
      <c r="G78" s="32"/>
      <c r="H78" s="32"/>
      <c r="I78" s="32"/>
    </row>
    <row r="79">
      <c r="A79" s="1" t="s">
        <v>79</v>
      </c>
      <c r="B79" s="28">
        <v>53062.0</v>
      </c>
      <c r="C79" s="28">
        <v>58159.0</v>
      </c>
      <c r="D79" s="28">
        <v>65128.0</v>
      </c>
      <c r="E79" s="28">
        <v>107127.0</v>
      </c>
      <c r="F79" s="28">
        <v>127405.0</v>
      </c>
      <c r="G79" s="28">
        <v>130564.0</v>
      </c>
      <c r="H79" s="28">
        <v>134716.0</v>
      </c>
      <c r="I79" s="28">
        <v>128512.0</v>
      </c>
    </row>
    <row r="80">
      <c r="A80" s="1" t="s">
        <v>80</v>
      </c>
      <c r="B80" s="28">
        <v>259129.0</v>
      </c>
      <c r="C80" s="28">
        <v>323625.0</v>
      </c>
      <c r="D80" s="28">
        <v>386328.0</v>
      </c>
      <c r="E80" s="28">
        <v>523954.0</v>
      </c>
      <c r="F80" s="28">
        <v>580022.0</v>
      </c>
      <c r="G80" s="28">
        <v>656167.0</v>
      </c>
      <c r="H80" s="28">
        <v>658400.0</v>
      </c>
      <c r="I80" s="28">
        <v>692400.0</v>
      </c>
    </row>
    <row r="81">
      <c r="A81" s="1" t="s">
        <v>81</v>
      </c>
      <c r="B81" s="33"/>
      <c r="C81" s="33"/>
      <c r="D81" s="33"/>
      <c r="E81" s="33"/>
      <c r="F81" s="33"/>
      <c r="G81" s="33"/>
      <c r="H81" s="33"/>
      <c r="I81" s="33"/>
    </row>
    <row r="82">
      <c r="A82" s="2" t="s">
        <v>81</v>
      </c>
      <c r="B82" s="32"/>
      <c r="C82" s="32"/>
      <c r="D82" s="32"/>
      <c r="E82" s="32"/>
      <c r="F82" s="32"/>
      <c r="G82" s="32"/>
      <c r="H82" s="32"/>
      <c r="I82" s="32"/>
    </row>
    <row r="83">
      <c r="A83" s="2" t="s">
        <v>82</v>
      </c>
      <c r="B83" s="19">
        <v>35000.0</v>
      </c>
      <c r="C83" s="19">
        <v>35000.0</v>
      </c>
      <c r="D83" s="19">
        <v>35000.0</v>
      </c>
      <c r="E83" s="19">
        <v>65000.0</v>
      </c>
      <c r="F83" s="19">
        <v>65000.0</v>
      </c>
      <c r="G83" s="19">
        <v>65000.0</v>
      </c>
      <c r="H83" s="19">
        <v>65000.0</v>
      </c>
      <c r="I83" s="19">
        <v>65000.0</v>
      </c>
    </row>
    <row r="84">
      <c r="A84" s="2" t="s">
        <v>83</v>
      </c>
      <c r="B84" s="19">
        <v>95000.0</v>
      </c>
      <c r="C84" s="19">
        <v>95000.0</v>
      </c>
      <c r="D84" s="19">
        <v>95000.0</v>
      </c>
      <c r="E84" s="19">
        <v>95000.0</v>
      </c>
      <c r="F84" s="19">
        <v>95000.0</v>
      </c>
      <c r="G84" s="19">
        <v>95000.0</v>
      </c>
      <c r="H84" s="19">
        <v>95000.0</v>
      </c>
      <c r="I84" s="19">
        <v>95000.0</v>
      </c>
    </row>
    <row r="85">
      <c r="A85" s="2" t="s">
        <v>84</v>
      </c>
      <c r="B85" s="19">
        <v>10000.0</v>
      </c>
      <c r="C85" s="19">
        <v>10000.0</v>
      </c>
      <c r="D85" s="19">
        <v>10000.0</v>
      </c>
      <c r="E85" s="19">
        <v>10000.0</v>
      </c>
      <c r="F85" s="19">
        <v>10000.0</v>
      </c>
      <c r="G85" s="19">
        <v>10000.0</v>
      </c>
      <c r="H85" s="19">
        <v>10000.0</v>
      </c>
      <c r="I85" s="19">
        <v>10000.0</v>
      </c>
    </row>
    <row r="86">
      <c r="A86" s="2" t="s">
        <v>85</v>
      </c>
      <c r="B86" s="19">
        <v>16387.5</v>
      </c>
      <c r="C86" s="19">
        <v>19837.5</v>
      </c>
      <c r="D86" s="19">
        <v>23977.5</v>
      </c>
      <c r="E86" s="19">
        <v>51922.5</v>
      </c>
      <c r="F86" s="19">
        <v>55200.0</v>
      </c>
      <c r="G86" s="19">
        <v>54466.88</v>
      </c>
      <c r="H86" s="19">
        <v>54466.88</v>
      </c>
      <c r="I86" s="19">
        <v>54466.88</v>
      </c>
    </row>
    <row r="87">
      <c r="A87" s="2" t="s">
        <v>86</v>
      </c>
      <c r="B87" s="19">
        <v>2500.0</v>
      </c>
      <c r="C87" s="19">
        <v>2500.0</v>
      </c>
      <c r="D87" s="19">
        <v>2500.0</v>
      </c>
      <c r="E87" s="19">
        <v>31100.0</v>
      </c>
      <c r="F87" s="19">
        <v>31325.0</v>
      </c>
      <c r="G87" s="19">
        <v>15875.0</v>
      </c>
      <c r="H87" s="19">
        <v>37375.0</v>
      </c>
      <c r="I87" s="19">
        <v>37375.0</v>
      </c>
    </row>
    <row r="88">
      <c r="A88" s="16" t="s">
        <v>87</v>
      </c>
      <c r="B88" s="34">
        <v>10000.0</v>
      </c>
      <c r="C88" s="34">
        <v>10000.0</v>
      </c>
      <c r="D88" s="34">
        <v>10000.0</v>
      </c>
      <c r="E88" s="34">
        <v>25000.0</v>
      </c>
      <c r="F88" s="34">
        <v>25000.0</v>
      </c>
      <c r="G88" s="34">
        <v>25000.0</v>
      </c>
      <c r="H88" s="34">
        <v>25000.0</v>
      </c>
      <c r="I88" s="34">
        <v>25000.0</v>
      </c>
    </row>
    <row r="89">
      <c r="A89" s="35" t="s">
        <v>88</v>
      </c>
      <c r="B89" s="33">
        <v>168887.5</v>
      </c>
      <c r="C89" s="33">
        <v>172337.5</v>
      </c>
      <c r="D89" s="33">
        <v>176477.5</v>
      </c>
      <c r="E89" s="33">
        <v>278022.5</v>
      </c>
      <c r="F89" s="33">
        <v>281525.0</v>
      </c>
      <c r="G89" s="33">
        <v>265341.88</v>
      </c>
      <c r="H89" s="33">
        <v>286841.88</v>
      </c>
      <c r="I89" s="33">
        <v>286841.88</v>
      </c>
    </row>
    <row r="90">
      <c r="A90" s="1" t="s">
        <v>89</v>
      </c>
      <c r="B90" s="28">
        <v>532505.0</v>
      </c>
      <c r="C90" s="28">
        <v>601774.0</v>
      </c>
      <c r="D90" s="28">
        <v>677069.0</v>
      </c>
      <c r="E90" s="28">
        <v>1183627.0</v>
      </c>
      <c r="F90" s="28">
        <v>1255672.0</v>
      </c>
      <c r="G90" s="28">
        <v>1331405.0</v>
      </c>
      <c r="H90" s="28">
        <v>1363891.0</v>
      </c>
      <c r="I90" s="28">
        <v>1398349.0</v>
      </c>
    </row>
    <row r="91">
      <c r="A91" s="21"/>
      <c r="B91" s="21"/>
      <c r="C91" s="21"/>
      <c r="D91" s="21"/>
      <c r="E91" s="21"/>
      <c r="F91" s="21"/>
      <c r="G91" s="21"/>
      <c r="H91" s="21"/>
      <c r="I91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25"/>
    <col customWidth="1" min="2" max="9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1.0</v>
      </c>
      <c r="C2" s="3">
        <v>1.0</v>
      </c>
      <c r="D2" s="3">
        <v>1.0</v>
      </c>
      <c r="E2" s="3">
        <v>4.0</v>
      </c>
      <c r="F2" s="3">
        <v>4.0</v>
      </c>
      <c r="G2" s="3">
        <v>4.0</v>
      </c>
      <c r="H2" s="3">
        <v>4.0</v>
      </c>
      <c r="I2" s="3">
        <v>4.0</v>
      </c>
    </row>
    <row r="3">
      <c r="A3" s="2" t="s">
        <v>10</v>
      </c>
      <c r="B3" s="4">
        <v>545.0</v>
      </c>
      <c r="C3" s="5">
        <v>702.0</v>
      </c>
      <c r="D3" s="4">
        <v>887.0</v>
      </c>
      <c r="E3" s="4">
        <v>1484.0</v>
      </c>
      <c r="F3" s="4">
        <v>1681.0</v>
      </c>
      <c r="G3" s="4">
        <v>1724.0</v>
      </c>
      <c r="H3" s="4">
        <v>1724.0</v>
      </c>
      <c r="I3" s="4">
        <v>2053.0</v>
      </c>
    </row>
    <row r="4">
      <c r="A4" s="6" t="s">
        <v>90</v>
      </c>
      <c r="B4" s="7">
        <v>206066.67</v>
      </c>
      <c r="C4" s="7">
        <v>265466.67</v>
      </c>
      <c r="D4" s="7">
        <v>321200.0</v>
      </c>
      <c r="E4" s="7">
        <v>434426.67</v>
      </c>
      <c r="F4" s="7">
        <v>476080.0</v>
      </c>
      <c r="G4" s="7">
        <v>545600.0</v>
      </c>
      <c r="H4" s="7">
        <v>545600.0</v>
      </c>
      <c r="I4" s="7">
        <v>587840.0</v>
      </c>
      <c r="J4" s="8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13</v>
      </c>
      <c r="B5" s="12"/>
      <c r="C5" s="12"/>
      <c r="D5" s="12"/>
      <c r="E5" s="12"/>
      <c r="F5" s="12"/>
      <c r="G5" s="12"/>
      <c r="H5" s="12"/>
      <c r="I5" s="12"/>
    </row>
    <row r="6">
      <c r="A6" s="14" t="s">
        <v>14</v>
      </c>
      <c r="B6" s="36">
        <v>7474.999999999999</v>
      </c>
      <c r="C6" s="36">
        <v>7474.999999999999</v>
      </c>
      <c r="D6" s="36">
        <v>7474.999999999999</v>
      </c>
      <c r="E6" s="36">
        <v>7474.999999999999</v>
      </c>
      <c r="F6" s="36">
        <v>7474.999999999999</v>
      </c>
      <c r="G6" s="36">
        <v>7474.999999999999</v>
      </c>
      <c r="H6" s="36">
        <v>7474.999999999999</v>
      </c>
      <c r="I6" s="36">
        <v>7474.999999999999</v>
      </c>
    </row>
    <row r="7">
      <c r="A7" s="14" t="s">
        <v>20</v>
      </c>
      <c r="B7" s="37">
        <v>65964.0</v>
      </c>
      <c r="C7" s="37">
        <v>67286.5</v>
      </c>
      <c r="D7" s="37">
        <v>75739.0</v>
      </c>
      <c r="E7" s="37">
        <v>246750.9</v>
      </c>
      <c r="F7" s="37">
        <v>253362.24999999997</v>
      </c>
      <c r="G7" s="37">
        <v>272598.875</v>
      </c>
      <c r="H7" s="37">
        <v>279433.32499999995</v>
      </c>
      <c r="I7" s="37">
        <v>277856.1</v>
      </c>
    </row>
    <row r="8">
      <c r="A8" s="14" t="s">
        <v>35</v>
      </c>
      <c r="B8" s="37">
        <v>18975.0</v>
      </c>
      <c r="C8" s="37">
        <v>18975.0</v>
      </c>
      <c r="D8" s="37">
        <v>18975.0</v>
      </c>
      <c r="E8" s="37">
        <v>74750.0</v>
      </c>
      <c r="F8" s="37">
        <v>74750.0</v>
      </c>
      <c r="G8" s="37">
        <v>74750.0</v>
      </c>
      <c r="H8" s="37">
        <v>74750.0</v>
      </c>
      <c r="I8" s="37">
        <v>74750.0</v>
      </c>
    </row>
    <row r="9">
      <c r="A9" s="14" t="s">
        <v>91</v>
      </c>
      <c r="B9" s="37">
        <v>12074.999999999998</v>
      </c>
      <c r="C9" s="37">
        <v>12074.999999999998</v>
      </c>
      <c r="D9" s="37">
        <v>12074.999999999998</v>
      </c>
      <c r="E9" s="37">
        <v>35075.0</v>
      </c>
      <c r="F9" s="37">
        <v>35075.0</v>
      </c>
      <c r="G9" s="37">
        <v>35075.0</v>
      </c>
      <c r="H9" s="37">
        <v>35075.0</v>
      </c>
      <c r="I9" s="37">
        <v>35075.0</v>
      </c>
    </row>
    <row r="10">
      <c r="A10" s="26" t="s">
        <v>56</v>
      </c>
      <c r="B10" s="27">
        <v>104489.0</v>
      </c>
      <c r="C10" s="27">
        <v>105811.5</v>
      </c>
      <c r="D10" s="27">
        <v>114264.0</v>
      </c>
      <c r="E10" s="27">
        <v>364050.9</v>
      </c>
      <c r="F10" s="27">
        <v>370662.25</v>
      </c>
      <c r="G10" s="27">
        <v>389898.88</v>
      </c>
      <c r="H10" s="27">
        <v>396733.33</v>
      </c>
      <c r="I10" s="27">
        <v>395156.1</v>
      </c>
    </row>
    <row r="11">
      <c r="A11" s="1" t="s">
        <v>57</v>
      </c>
      <c r="B11" s="28">
        <v>310556.0</v>
      </c>
      <c r="C11" s="28">
        <v>371278.0</v>
      </c>
      <c r="D11" s="28">
        <v>435464.0</v>
      </c>
      <c r="E11" s="28">
        <v>798478.0</v>
      </c>
      <c r="F11" s="28">
        <v>846742.0</v>
      </c>
      <c r="G11" s="28">
        <v>935499.0</v>
      </c>
      <c r="H11" s="28">
        <v>942333.0</v>
      </c>
      <c r="I11" s="28">
        <v>982996.0</v>
      </c>
    </row>
    <row r="12">
      <c r="A12" s="29"/>
      <c r="B12" s="30"/>
      <c r="C12" s="30"/>
      <c r="D12" s="30"/>
      <c r="E12" s="30"/>
      <c r="F12" s="30"/>
      <c r="G12" s="30"/>
      <c r="H12" s="30"/>
      <c r="I12" s="30"/>
    </row>
    <row r="13">
      <c r="A13" s="21"/>
      <c r="B13" s="21"/>
      <c r="C13" s="21"/>
      <c r="D13" s="21"/>
      <c r="E13" s="21"/>
      <c r="F13" s="21"/>
      <c r="G13" s="21"/>
      <c r="H13" s="21"/>
      <c r="I13" s="21"/>
    </row>
  </sheetData>
  <drawing r:id="rId1"/>
</worksheet>
</file>